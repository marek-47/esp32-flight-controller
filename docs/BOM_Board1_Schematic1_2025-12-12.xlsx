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Board1_Schematic1_2025-12-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<sst xmlns="http://schemas.openxmlformats.org/spreadsheetml/2006/main" count="120" uniqueCount="90">
  <si>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</si>
  <si>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</si>
  <si>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</si>
  <si>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</si>
  <si>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</si>
  <si>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</si>
  <si>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</si>
  <si>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</si>
  <si>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</si>
  <si>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</si>
  <si>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Price per item  (USD)</t>
  </si>
  <si>
    <t xml:space="preserve">Price for 5 of each</t>
  </si>
  <si>
    <t xml:space="preserve">1</t>
  </si>
  <si>
    <t xml:space="preserve">100nF</t>
  </si>
  <si>
    <t xml:space="preserve">C1,C2,C3,C4</t>
  </si>
  <si>
    <t xml:space="preserve">C0805</t>
  </si>
  <si>
    <t xml:space="preserve">CC0805KRX7R9BB104</t>
  </si>
  <si>
    <r>
      <rPr>
        <sz val="11"/>
        <color rgb="FF000000"/>
        <rFont val="Calibri"/>
        <family val="2"/>
        <charset val="1"/>
      </rPr>
      <t xml:space="preserve">YAGEO(</t>
    </r>
    <r>
      <rPr>
        <sz val="11"/>
        <color rgb="FF000000"/>
        <rFont val="Microsoft YaHei"/>
        <family val="2"/>
        <charset val="238"/>
      </rPr>
      <t xml:space="preserve">国巨</t>
    </r>
    <r>
      <rPr>
        <sz val="11"/>
        <color rgb="FF000000"/>
        <rFont val="Calibri"/>
        <family val="2"/>
        <charset val="1"/>
      </rPr>
      <t xml:space="preserve">)</t>
    </r>
  </si>
  <si>
    <t xml:space="preserve">C49678</t>
  </si>
  <si>
    <t xml:space="preserve">LCSC</t>
  </si>
  <si>
    <t xml:space="preserve">2</t>
  </si>
  <si>
    <t xml:space="preserve">C6</t>
  </si>
  <si>
    <t xml:space="preserve">FCC0805B104K500DT</t>
  </si>
  <si>
    <r>
      <rPr>
        <sz val="11"/>
        <color rgb="FF000000"/>
        <rFont val="Calibri"/>
        <family val="2"/>
        <charset val="1"/>
      </rPr>
      <t xml:space="preserve">FOJAN(</t>
    </r>
    <r>
      <rPr>
        <sz val="11"/>
        <color rgb="FF000000"/>
        <rFont val="Microsoft YaHei"/>
        <family val="2"/>
        <charset val="238"/>
      </rPr>
      <t xml:space="preserve">富捷</t>
    </r>
    <r>
      <rPr>
        <sz val="11"/>
        <color rgb="FF000000"/>
        <rFont val="Calibri"/>
        <family val="2"/>
        <charset val="1"/>
      </rPr>
      <t xml:space="preserve">)</t>
    </r>
  </si>
  <si>
    <t xml:space="preserve">C5137467</t>
  </si>
  <si>
    <t xml:space="preserve">3</t>
  </si>
  <si>
    <t xml:space="preserve">1N4148W</t>
  </si>
  <si>
    <t xml:space="preserve">D2,D3,D4,D5</t>
  </si>
  <si>
    <t xml:space="preserve">SOD-123F_L2.7-W1.6-LS3.8-RD</t>
  </si>
  <si>
    <r>
      <rPr>
        <sz val="11"/>
        <color rgb="FF000000"/>
        <rFont val="Calibri"/>
        <family val="2"/>
        <charset val="1"/>
      </rPr>
      <t xml:space="preserve">ST(</t>
    </r>
    <r>
      <rPr>
        <sz val="11"/>
        <color rgb="FF000000"/>
        <rFont val="Microsoft YaHei"/>
        <family val="2"/>
        <charset val="238"/>
      </rPr>
      <t xml:space="preserve">先科</t>
    </r>
    <r>
      <rPr>
        <sz val="11"/>
        <color rgb="FF000000"/>
        <rFont val="Calibri"/>
        <family val="2"/>
        <charset val="1"/>
      </rPr>
      <t xml:space="preserve">)</t>
    </r>
  </si>
  <si>
    <t xml:space="preserve">C81598</t>
  </si>
  <si>
    <t xml:space="preserve">4</t>
  </si>
  <si>
    <t xml:space="preserve">NCD0805G1</t>
  </si>
  <si>
    <t xml:space="preserve">LED1,LED2,LED6</t>
  </si>
  <si>
    <t xml:space="preserve">LED0805-R-RD</t>
  </si>
  <si>
    <t xml:space="preserve">国星光电</t>
  </si>
  <si>
    <t xml:space="preserve">C84260</t>
  </si>
  <si>
    <t xml:space="preserve">5</t>
  </si>
  <si>
    <t xml:space="preserve">XL-2012UBC</t>
  </si>
  <si>
    <t xml:space="preserve">LED3,LED4,LED5</t>
  </si>
  <si>
    <t xml:space="preserve">LED0805-RD</t>
  </si>
  <si>
    <r>
      <rPr>
        <sz val="11"/>
        <color rgb="FF000000"/>
        <rFont val="Calibri"/>
        <family val="2"/>
        <charset val="1"/>
      </rPr>
      <t xml:space="preserve">XINGLIGHT(</t>
    </r>
    <r>
      <rPr>
        <sz val="11"/>
        <color rgb="FF000000"/>
        <rFont val="Microsoft YaHei"/>
        <family val="2"/>
        <charset val="238"/>
      </rPr>
      <t xml:space="preserve">成兴光</t>
    </r>
    <r>
      <rPr>
        <sz val="11"/>
        <color rgb="FF000000"/>
        <rFont val="Calibri"/>
        <family val="2"/>
        <charset val="1"/>
      </rPr>
      <t xml:space="preserve">)</t>
    </r>
  </si>
  <si>
    <t xml:space="preserve">C965817</t>
  </si>
  <si>
    <t xml:space="preserve">6</t>
  </si>
  <si>
    <t xml:space="preserve">SI2300</t>
  </si>
  <si>
    <t xml:space="preserve">Q1,Q2,Q3,Q4</t>
  </si>
  <si>
    <t xml:space="preserve">SOT-23-3_L2.9-W1.3-P0.95-LS2.4-BR</t>
  </si>
  <si>
    <t xml:space="preserve">KUU</t>
  </si>
  <si>
    <t xml:space="preserve">C2985622</t>
  </si>
  <si>
    <t xml:space="preserve">7</t>
  </si>
  <si>
    <t xml:space="preserve">10kΩ</t>
  </si>
  <si>
    <t xml:space="preserve">R1,R2,R3,R4,R15,R16</t>
  </si>
  <si>
    <t xml:space="preserve">R0805</t>
  </si>
  <si>
    <t xml:space="preserve">0805W8F1002T5E</t>
  </si>
  <si>
    <r>
      <rPr>
        <sz val="11"/>
        <color rgb="FF000000"/>
        <rFont val="Calibri"/>
        <family val="2"/>
        <charset val="1"/>
      </rPr>
      <t xml:space="preserve">UNI-ROYAL(</t>
    </r>
    <r>
      <rPr>
        <sz val="11"/>
        <color rgb="FF000000"/>
        <rFont val="Microsoft YaHei"/>
        <family val="2"/>
        <charset val="238"/>
      </rPr>
      <t xml:space="preserve">厚声</t>
    </r>
    <r>
      <rPr>
        <sz val="11"/>
        <color rgb="FF000000"/>
        <rFont val="Calibri"/>
        <family val="2"/>
        <charset val="1"/>
      </rPr>
      <t xml:space="preserve">)</t>
    </r>
  </si>
  <si>
    <t xml:space="preserve">C17414</t>
  </si>
  <si>
    <t xml:space="preserve">8</t>
  </si>
  <si>
    <t xml:space="preserve">4.7kΩ</t>
  </si>
  <si>
    <t xml:space="preserve">R7,R8</t>
  </si>
  <si>
    <t xml:space="preserve">RMC08054.7K1%N</t>
  </si>
  <si>
    <r>
      <rPr>
        <sz val="11"/>
        <color rgb="FF000000"/>
        <rFont val="Calibri"/>
        <family val="2"/>
        <charset val="1"/>
      </rPr>
      <t xml:space="preserve">Tyohm(</t>
    </r>
    <r>
      <rPr>
        <sz val="11"/>
        <color rgb="FF000000"/>
        <rFont val="Microsoft YaHei"/>
        <family val="2"/>
        <charset val="238"/>
      </rPr>
      <t xml:space="preserve">幸亚电阻</t>
    </r>
    <r>
      <rPr>
        <sz val="11"/>
        <color rgb="FF000000"/>
        <rFont val="Calibri"/>
        <family val="2"/>
        <charset val="1"/>
      </rPr>
      <t xml:space="preserve">)</t>
    </r>
  </si>
  <si>
    <t xml:space="preserve">C269746</t>
  </si>
  <si>
    <t xml:space="preserve">9</t>
  </si>
  <si>
    <t xml:space="preserve">150Ω</t>
  </si>
  <si>
    <t xml:space="preserve">R9,R10,R13,R14</t>
  </si>
  <si>
    <t xml:space="preserve">0805W8F1500T5E</t>
  </si>
  <si>
    <t xml:space="preserve">C17471</t>
  </si>
  <si>
    <t xml:space="preserve">10</t>
  </si>
  <si>
    <t xml:space="preserve">220Ω</t>
  </si>
  <si>
    <t xml:space="preserve">R11,R12</t>
  </si>
  <si>
    <t xml:space="preserve">0805W8F2200T5E</t>
  </si>
  <si>
    <t xml:space="preserve">C17557</t>
  </si>
  <si>
    <t xml:space="preserve">11</t>
  </si>
  <si>
    <t xml:space="preserve">XIAO ESP32C3</t>
  </si>
  <si>
    <t xml:space="preserve">U1</t>
  </si>
  <si>
    <t xml:space="preserve">XIAO ESP32C3 MIN</t>
  </si>
  <si>
    <t xml:space="preserve">https://botland.cz/moduly-wifi-a-bt-esp32/22878-seeed-xiao-esp32-s3-wifi-bluetooth-seeedstudio-113991114.html</t>
  </si>
  <si>
    <t xml:space="preserve">Seeedstudio</t>
  </si>
  <si>
    <t xml:space="preserve">12</t>
  </si>
  <si>
    <t xml:space="preserve">S2B-PH-K-S(LF)(SN)</t>
  </si>
  <si>
    <t xml:space="preserve">U2</t>
  </si>
  <si>
    <t xml:space="preserve">CONN-TH_S2B-PH-K-S-LF-SN</t>
  </si>
  <si>
    <t xml:space="preserve">JST</t>
  </si>
  <si>
    <t xml:space="preserve">C173752</t>
  </si>
  <si>
    <t xml:space="preserve">13</t>
  </si>
  <si>
    <t xml:space="preserve">MPU-9250</t>
  </si>
  <si>
    <t xml:space="preserve">U3</t>
  </si>
  <si>
    <t xml:space="preserve">QFN-24_L3.0-W3.0-P0.40-BL-EP</t>
  </si>
  <si>
    <r>
      <rPr>
        <sz val="11"/>
        <color rgb="FF000000"/>
        <rFont val="Calibri"/>
        <family val="2"/>
        <charset val="1"/>
      </rPr>
      <t xml:space="preserve">TDK InvenSense(</t>
    </r>
    <r>
      <rPr>
        <sz val="11"/>
        <color rgb="FF000000"/>
        <rFont val="Microsoft YaHei"/>
        <family val="2"/>
        <charset val="238"/>
      </rPr>
      <t xml:space="preserve">应美盛</t>
    </r>
    <r>
      <rPr>
        <sz val="11"/>
        <color rgb="FF000000"/>
        <rFont val="Calibri"/>
        <family val="2"/>
        <charset val="1"/>
      </rPr>
      <t xml:space="preserve">)</t>
    </r>
  </si>
  <si>
    <t xml:space="preserve">C71459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</si>
</sst>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Microsoft YaHe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otland.cz/moduly-wifi-a-bt-esp32/22878-seeed-xiao-esp32-s3-wifi-bluetooth-seeedstudio-113991114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1" activeCellId="0" sqref="F31"/>
    </sheetView>
  </sheetViews>
  <sheetFormatPr defaultColWidth="8.4609375" defaultRowHeight="15" zeroHeight="false" outlineLevelRow="0" outlineLevelCol="0"/>
  <cols>
    <col collapsed="false" customWidth="true" hidden="false" outlineLevel="0" max="12" min="1" style="0" width="19.9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6.5" hidden="false" customHeight="false" outlineLevel="0" collapsed="false">
      <c r="A2" s="0" t="s">
        <v>12</v>
      </c>
      <c r="B2" s="1" t="n">
        <v>4</v>
      </c>
      <c r="C2" s="0" t="s">
        <v>13</v>
      </c>
      <c r="D2" s="0" t="s">
        <v>14</v>
      </c>
      <c r="E2" s="0" t="s">
        <v>15</v>
      </c>
      <c r="F2" s="0" t="s">
        <v>13</v>
      </c>
      <c r="G2" s="0" t="s">
        <v>16</v>
      </c>
      <c r="H2" s="0" t="s">
        <v>17</v>
      </c>
      <c r="I2" s="0" t="s">
        <v>18</v>
      </c>
      <c r="J2" s="0" t="s">
        <v>19</v>
      </c>
      <c r="K2" s="1" t="n">
        <v>0.0007</v>
      </c>
      <c r="L2" s="0" t="n">
        <f aca="false">K2 * 5</f>
        <v>0.0035</v>
      </c>
    </row>
    <row r="3" customFormat="false" ht="16.5" hidden="false" customHeight="false" outlineLevel="0" collapsed="false">
      <c r="A3" s="0" t="s">
        <v>20</v>
      </c>
      <c r="B3" s="1" t="n">
        <v>1</v>
      </c>
      <c r="C3" s="0" t="s">
        <v>13</v>
      </c>
      <c r="D3" s="0" t="s">
        <v>21</v>
      </c>
      <c r="E3" s="0" t="s">
        <v>15</v>
      </c>
      <c r="F3" s="0" t="s">
        <v>13</v>
      </c>
      <c r="G3" s="0" t="s">
        <v>22</v>
      </c>
      <c r="H3" s="0" t="s">
        <v>23</v>
      </c>
      <c r="I3" s="0" t="s">
        <v>24</v>
      </c>
      <c r="J3" s="0" t="s">
        <v>19</v>
      </c>
      <c r="K3" s="1" t="n">
        <v>0.0005</v>
      </c>
      <c r="L3" s="0" t="n">
        <f aca="false">K3 * 5</f>
        <v>0.0025</v>
      </c>
    </row>
    <row r="4" customFormat="false" ht="16.5" hidden="false" customHeight="false" outlineLevel="0" collapsed="false">
      <c r="A4" s="0" t="s">
        <v>25</v>
      </c>
      <c r="B4" s="1" t="n">
        <v>4</v>
      </c>
      <c r="C4" s="0" t="s">
        <v>26</v>
      </c>
      <c r="D4" s="0" t="s">
        <v>27</v>
      </c>
      <c r="E4" s="0" t="s">
        <v>28</v>
      </c>
      <c r="G4" s="0" t="s">
        <v>26</v>
      </c>
      <c r="H4" s="0" t="s">
        <v>29</v>
      </c>
      <c r="I4" s="0" t="s">
        <v>30</v>
      </c>
      <c r="J4" s="0" t="s">
        <v>19</v>
      </c>
      <c r="K4" s="1" t="n">
        <v>0.0015</v>
      </c>
      <c r="L4" s="0" t="n">
        <f aca="false">K4 * 5</f>
        <v>0.0075</v>
      </c>
    </row>
    <row r="5" customFormat="false" ht="13.8" hidden="false" customHeight="false" outlineLevel="0" collapsed="false">
      <c r="A5" s="0" t="s">
        <v>31</v>
      </c>
      <c r="B5" s="1" t="n">
        <v>3</v>
      </c>
      <c r="C5" s="0" t="s">
        <v>32</v>
      </c>
      <c r="D5" s="0" t="s">
        <v>33</v>
      </c>
      <c r="E5" s="0" t="s">
        <v>34</v>
      </c>
      <c r="G5" s="0" t="s">
        <v>32</v>
      </c>
      <c r="H5" s="2" t="s">
        <v>35</v>
      </c>
      <c r="I5" s="0" t="s">
        <v>36</v>
      </c>
      <c r="J5" s="0" t="s">
        <v>19</v>
      </c>
      <c r="K5" s="1" t="n">
        <v>0.0028</v>
      </c>
      <c r="L5" s="0" t="n">
        <f aca="false">K5 * 5</f>
        <v>0.014</v>
      </c>
    </row>
    <row r="6" customFormat="false" ht="16.5" hidden="false" customHeight="false" outlineLevel="0" collapsed="false">
      <c r="A6" s="0" t="s">
        <v>37</v>
      </c>
      <c r="B6" s="1" t="n">
        <v>3</v>
      </c>
      <c r="C6" s="0" t="s">
        <v>38</v>
      </c>
      <c r="D6" s="0" t="s">
        <v>39</v>
      </c>
      <c r="E6" s="0" t="s">
        <v>40</v>
      </c>
      <c r="G6" s="0" t="s">
        <v>38</v>
      </c>
      <c r="H6" s="0" t="s">
        <v>41</v>
      </c>
      <c r="I6" s="0" t="s">
        <v>42</v>
      </c>
      <c r="J6" s="0" t="s">
        <v>19</v>
      </c>
      <c r="K6" s="1" t="n">
        <v>0.0009</v>
      </c>
      <c r="L6" s="0" t="n">
        <f aca="false">K6 * 5</f>
        <v>0.0045</v>
      </c>
    </row>
    <row r="7" customFormat="false" ht="13.8" hidden="false" customHeight="false" outlineLevel="0" collapsed="false">
      <c r="A7" s="0" t="s">
        <v>43</v>
      </c>
      <c r="B7" s="1" t="n">
        <v>4</v>
      </c>
      <c r="C7" s="0" t="s">
        <v>44</v>
      </c>
      <c r="D7" s="0" t="s">
        <v>45</v>
      </c>
      <c r="E7" s="0" t="s">
        <v>46</v>
      </c>
      <c r="G7" s="0" t="s">
        <v>44</v>
      </c>
      <c r="H7" s="0" t="s">
        <v>47</v>
      </c>
      <c r="I7" s="0" t="s">
        <v>48</v>
      </c>
      <c r="J7" s="0" t="s">
        <v>19</v>
      </c>
      <c r="K7" s="1" t="n">
        <v>0.0048</v>
      </c>
      <c r="L7" s="0" t="n">
        <f aca="false">K7 * 5</f>
        <v>0.024</v>
      </c>
    </row>
    <row r="8" customFormat="false" ht="16.5" hidden="false" customHeight="false" outlineLevel="0" collapsed="false">
      <c r="A8" s="0" t="s">
        <v>49</v>
      </c>
      <c r="B8" s="1" t="n">
        <v>6</v>
      </c>
      <c r="C8" s="0" t="s">
        <v>50</v>
      </c>
      <c r="D8" s="0" t="s">
        <v>51</v>
      </c>
      <c r="E8" s="0" t="s">
        <v>52</v>
      </c>
      <c r="F8" s="0" t="s">
        <v>50</v>
      </c>
      <c r="G8" s="0" t="s">
        <v>53</v>
      </c>
      <c r="H8" s="0" t="s">
        <v>54</v>
      </c>
      <c r="I8" s="0" t="s">
        <v>55</v>
      </c>
      <c r="J8" s="0" t="s">
        <v>19</v>
      </c>
      <c r="K8" s="1" t="n">
        <v>0.0003</v>
      </c>
      <c r="L8" s="0" t="n">
        <f aca="false">K8 * 5</f>
        <v>0.0015</v>
      </c>
    </row>
    <row r="9" customFormat="false" ht="16.5" hidden="false" customHeight="false" outlineLevel="0" collapsed="false">
      <c r="A9" s="0" t="s">
        <v>56</v>
      </c>
      <c r="B9" s="1" t="n">
        <v>2</v>
      </c>
      <c r="C9" s="0" t="s">
        <v>57</v>
      </c>
      <c r="D9" s="0" t="s">
        <v>58</v>
      </c>
      <c r="E9" s="0" t="s">
        <v>52</v>
      </c>
      <c r="F9" s="0" t="s">
        <v>57</v>
      </c>
      <c r="G9" s="0" t="s">
        <v>59</v>
      </c>
      <c r="H9" s="0" t="s">
        <v>60</v>
      </c>
      <c r="I9" s="0" t="s">
        <v>61</v>
      </c>
      <c r="J9" s="0" t="s">
        <v>19</v>
      </c>
      <c r="K9" s="1" t="n">
        <v>0.0008</v>
      </c>
      <c r="L9" s="0" t="n">
        <f aca="false">K9 * 5</f>
        <v>0.004</v>
      </c>
    </row>
    <row r="10" customFormat="false" ht="16.5" hidden="false" customHeight="false" outlineLevel="0" collapsed="false">
      <c r="A10" s="0" t="s">
        <v>62</v>
      </c>
      <c r="B10" s="1" t="n">
        <v>4</v>
      </c>
      <c r="C10" s="0" t="s">
        <v>63</v>
      </c>
      <c r="D10" s="0" t="s">
        <v>64</v>
      </c>
      <c r="E10" s="0" t="s">
        <v>52</v>
      </c>
      <c r="F10" s="0" t="s">
        <v>63</v>
      </c>
      <c r="G10" s="0" t="s">
        <v>65</v>
      </c>
      <c r="H10" s="0" t="s">
        <v>54</v>
      </c>
      <c r="I10" s="0" t="s">
        <v>66</v>
      </c>
      <c r="J10" s="0" t="s">
        <v>19</v>
      </c>
      <c r="K10" s="1" t="n">
        <v>0.0003</v>
      </c>
      <c r="L10" s="0" t="n">
        <f aca="false">K10 * 5</f>
        <v>0.0015</v>
      </c>
    </row>
    <row r="11" customFormat="false" ht="16.5" hidden="false" customHeight="false" outlineLevel="0" collapsed="false">
      <c r="A11" s="0" t="s">
        <v>67</v>
      </c>
      <c r="B11" s="1" t="n">
        <v>2</v>
      </c>
      <c r="C11" s="0" t="s">
        <v>68</v>
      </c>
      <c r="D11" s="0" t="s">
        <v>69</v>
      </c>
      <c r="E11" s="0" t="s">
        <v>52</v>
      </c>
      <c r="F11" s="0" t="s">
        <v>68</v>
      </c>
      <c r="G11" s="0" t="s">
        <v>70</v>
      </c>
      <c r="H11" s="0" t="s">
        <v>54</v>
      </c>
      <c r="I11" s="0" t="s">
        <v>71</v>
      </c>
      <c r="J11" s="0" t="s">
        <v>19</v>
      </c>
      <c r="K11" s="1" t="n">
        <v>0.0003</v>
      </c>
      <c r="L11" s="0" t="n">
        <f aca="false">K11 * 5</f>
        <v>0.0015</v>
      </c>
    </row>
    <row r="12" customFormat="false" ht="13.8" hidden="false" customHeight="false" outlineLevel="0" collapsed="false">
      <c r="A12" s="0" t="s">
        <v>72</v>
      </c>
      <c r="B12" s="1" t="n">
        <v>1</v>
      </c>
      <c r="C12" s="0" t="s">
        <v>73</v>
      </c>
      <c r="D12" s="0" t="s">
        <v>74</v>
      </c>
      <c r="E12" s="0" t="s">
        <v>75</v>
      </c>
      <c r="G12" s="0" t="s">
        <v>76</v>
      </c>
      <c r="H12" s="0" t="s">
        <v>77</v>
      </c>
      <c r="K12" s="1" t="n">
        <v>14.03</v>
      </c>
      <c r="L12" s="0" t="n">
        <f aca="false">K12 * 5</f>
        <v>70.15</v>
      </c>
    </row>
    <row r="13" customFormat="false" ht="13.8" hidden="false" customHeight="false" outlineLevel="0" collapsed="false">
      <c r="A13" s="0" t="s">
        <v>78</v>
      </c>
      <c r="B13" s="1" t="n">
        <v>1</v>
      </c>
      <c r="C13" s="0" t="s">
        <v>79</v>
      </c>
      <c r="D13" s="0" t="s">
        <v>80</v>
      </c>
      <c r="E13" s="0" t="s">
        <v>81</v>
      </c>
      <c r="G13" s="0" t="s">
        <v>79</v>
      </c>
      <c r="H13" s="0" t="s">
        <v>82</v>
      </c>
      <c r="I13" s="0" t="s">
        <v>83</v>
      </c>
      <c r="J13" s="0" t="s">
        <v>19</v>
      </c>
      <c r="K13" s="1" t="n">
        <v>0.0048</v>
      </c>
      <c r="L13" s="0" t="n">
        <f aca="false">K13 * 5</f>
        <v>0.024</v>
      </c>
    </row>
    <row r="14" customFormat="false" ht="16.5" hidden="false" customHeight="false" outlineLevel="0" collapsed="false">
      <c r="A14" s="0" t="s">
        <v>84</v>
      </c>
      <c r="B14" s="1" t="n">
        <v>1</v>
      </c>
      <c r="C14" s="0" t="s">
        <v>85</v>
      </c>
      <c r="D14" s="0" t="s">
        <v>86</v>
      </c>
      <c r="E14" s="0" t="s">
        <v>87</v>
      </c>
      <c r="G14" s="0" t="s">
        <v>85</v>
      </c>
      <c r="H14" s="0" t="s">
        <v>88</v>
      </c>
      <c r="I14" s="0" t="s">
        <v>89</v>
      </c>
      <c r="J14" s="0" t="s">
        <v>19</v>
      </c>
      <c r="K14" s="1" t="n">
        <v>17.9385</v>
      </c>
      <c r="L14" s="0" t="n">
        <f aca="false">K14 * 5</f>
        <v>89.6925</v>
      </c>
    </row>
    <row r="15" customFormat="false" ht="13.8" hidden="false" customHeight="false" outlineLevel="0" collapsed="false">
      <c r="K15" s="1" t="n">
        <f aca="false">SUM(K2:K14)</f>
        <v>31.9862</v>
      </c>
      <c r="L15" s="0" t="n">
        <f aca="false">K15 * 5</f>
        <v>159.931</v>
      </c>
    </row>
  </sheetData>
  <hyperlinks>
    <hyperlink ref="G12" r:id="rId1" display="https://botland.cz/moduly-wifi-a-bt-esp32/22878-seeed-xiao-esp32-s3-wifi-bluetooth-seeedstudio-113991114.html"/>
  </hyperlink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2025-12-12T17:17:42Z</dcterms:created>
  <dc:creator>jlceda</dc:creator>
  <dc:description/>
  <dc:language>cs-CZ</dc:language>
  <cp:lastModifiedBy/>
  <dcterms:modified xsi:type="dcterms:W3CDTF">2025-12-12T20:09:42Z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